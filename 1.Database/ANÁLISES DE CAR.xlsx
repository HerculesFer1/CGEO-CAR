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8. Dashboard de Análise\"/>
    </mc:Choice>
  </mc:AlternateContent>
  <xr:revisionPtr revIDLastSave="0" documentId="13_ncr:1_{22DF42C9-5F2E-4781-A728-5106EC2CA5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ral" sheetId="3" r:id="rId1"/>
    <sheet name="RESULTADOS" sheetId="1" r:id="rId2"/>
    <sheet name="EQUIVALÊNCIA DE STATU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K8" i="2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L11" i="1"/>
  <c r="J11" i="1"/>
  <c r="G10" i="1"/>
  <c r="J10" i="1" s="1"/>
  <c r="E10" i="1"/>
  <c r="D10" i="1"/>
  <c r="J9" i="1"/>
  <c r="G9" i="1"/>
  <c r="E9" i="1"/>
  <c r="D9" i="1"/>
  <c r="E8" i="1"/>
  <c r="D8" i="1"/>
  <c r="G8" i="1" s="1"/>
  <c r="J8" i="1" s="1"/>
  <c r="E7" i="1"/>
  <c r="D7" i="1"/>
  <c r="G7" i="1" s="1"/>
  <c r="J7" i="1" s="1"/>
  <c r="J6" i="1"/>
  <c r="J5" i="1"/>
  <c r="J4" i="1"/>
</calcChain>
</file>

<file path=xl/sharedStrings.xml><?xml version="1.0" encoding="utf-8"?>
<sst xmlns="http://schemas.openxmlformats.org/spreadsheetml/2006/main" count="113" uniqueCount="91">
  <si>
    <t>ANO</t>
  </si>
  <si>
    <t>MÊS</t>
  </si>
  <si>
    <t>NÚMERO TOTAL DE REGISTROS</t>
  </si>
  <si>
    <t>AGUARDANDO GESTOR</t>
  </si>
  <si>
    <t>ANALISADOS</t>
  </si>
  <si>
    <t>VALIDADOS</t>
  </si>
  <si>
    <t>CANCELADOS</t>
  </si>
  <si>
    <t>AGUARDANDO EMPREENDEDOR</t>
  </si>
  <si>
    <t>TOTAL</t>
  </si>
  <si>
    <t>PENDENTE</t>
  </si>
  <si>
    <t>SUSPENSO</t>
  </si>
  <si>
    <t>OUTROS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</si>
  <si>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</si>
  <si>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</si>
  <si>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</si>
  <si>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</si>
  <si>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</si>
  <si>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</si>
  <si>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</si>
  <si>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</si>
  <si>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</si>
  <si>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</si>
  <si>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</si>
  <si>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</si>
  <si>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Ativo+Ag. Gestor </t>
  </si>
  <si>
    <t>Revisado, aguardando Análise da Regularidade Ambiental (GO)</t>
  </si>
  <si>
    <t>Analisado, em conformidade com a Lei nº 12.651/2012</t>
  </si>
  <si>
    <t>Cancelado por solicitação do proprietário/possuidor</t>
  </si>
  <si>
    <t>Analisado com pendências, aguardando retificação e/ou apresentação de documentos</t>
  </si>
  <si>
    <t>Em Retificação Dinamizada</t>
  </si>
  <si>
    <t xml:space="preserve">Ativo+pendente </t>
  </si>
  <si>
    <t>Aguardando análise, não passível de revisão de dados</t>
  </si>
  <si>
    <t>Analisado, em conformidade com a Lei nº 12.651/2012, com ativos ambientais</t>
  </si>
  <si>
    <t>Cancelado por decisão administrativa</t>
  </si>
  <si>
    <t>Analisado com pendências, aguardando apresentação de documentos</t>
  </si>
  <si>
    <t>Revisado, aguardando aceite pelo proprietário/possuidor</t>
  </si>
  <si>
    <t xml:space="preserve">Pendente + Ag. Gestor </t>
  </si>
  <si>
    <t>Aguardando análise, passível de revisão de dados</t>
  </si>
  <si>
    <t>Analisado, em regularização ambiental (Lei nº 12.651/2012), com ativos ambientais</t>
  </si>
  <si>
    <t>Cancelado por decisão judicial</t>
  </si>
  <si>
    <t>Analisado com pendências, aguardando atendimento a outras restrições</t>
  </si>
  <si>
    <t>Revisado, aguardando Análise da Regularidade Ambiental</t>
  </si>
  <si>
    <t xml:space="preserve">Pendente+Pendente </t>
  </si>
  <si>
    <t>Em análise</t>
  </si>
  <si>
    <t>Analisado, em regularização ambiental (Lei nº 12.651/2012)</t>
  </si>
  <si>
    <t>Analisado com pendências, aguardando retificação</t>
  </si>
  <si>
    <t xml:space="preserve">Suspenso+Ag Gestor </t>
  </si>
  <si>
    <t>Revisado, aguardando análise da equipe</t>
  </si>
  <si>
    <t>Analisado, aguardando regularização ambiental (Lei nº 12.651/2012)</t>
  </si>
  <si>
    <t xml:space="preserve">Análise automática do SICAR </t>
  </si>
  <si>
    <t>Suspenso+Pendente</t>
  </si>
  <si>
    <t>Em processo de revisão de dados</t>
  </si>
  <si>
    <t>Os suspensos poderão ser contabilizados duplamente.</t>
  </si>
  <si>
    <t>Os pendentes poderão ser contabilizados duplamente.</t>
  </si>
  <si>
    <t>Número de cadastros com análise da Regularidade ambiental concluída</t>
  </si>
  <si>
    <t>Brasil</t>
  </si>
  <si>
    <t>Região</t>
  </si>
  <si>
    <t>Estado</t>
  </si>
  <si>
    <t>Centro-Oeste</t>
  </si>
  <si>
    <t>DF</t>
  </si>
  <si>
    <t>GO</t>
  </si>
  <si>
    <t>MS</t>
  </si>
  <si>
    <t>MT</t>
  </si>
  <si>
    <t>Nordeste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</si>
  <si>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</si>
  <si>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</si>
  <si>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</si>
  <si>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</si>
  <si>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</si>
  <si>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</si>
  <si>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</si>
  <si>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</si>
  <si>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</si>
  <si>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Norte</t>
  </si>
  <si>
    <t>AC</t>
  </si>
  <si>
    <t>AM</t>
  </si>
  <si>
    <t>AP</t>
  </si>
  <si>
    <t>PA</t>
  </si>
  <si>
    <t>RO</t>
  </si>
  <si>
    <t>RR</t>
  </si>
  <si>
    <t>TO</t>
  </si>
  <si>
    <t>Sudeste</t>
  </si>
  <si>
    <t>ES</t>
  </si>
  <si>
    <t>MG</t>
  </si>
  <si>
    <t>RJ</t>
  </si>
  <si>
    <t>SP</t>
  </si>
  <si>
    <t>Sul</t>
  </si>
  <si>
    <t>PR</t>
  </si>
  <si>
    <t>RS</t>
  </si>
  <si>
    <t>SC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</si>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</sst>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0" xfId="0" applyNumberFormat="1" applyFont="1"/>
    <xf numFmtId="0" fontId="3" fillId="0" borderId="0" xfId="0" applyFont="1"/>
    <xf numFmtId="0" fontId="1" fillId="2" borderId="7" xfId="0" applyFont="1" applyFill="1" applyBorder="1" applyAlignment="1">
      <alignment horizontal="center" vertical="center"/>
    </xf>
    <xf numFmtId="0" fontId="4" fillId="0" borderId="7" xfId="0" applyFont="1" applyBorder="1"/>
    <xf numFmtId="0" fontId="5" fillId="0" borderId="7" xfId="0" applyFont="1" applyBorder="1"/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/>
    </xf>
    <xf numFmtId="0" fontId="2" fillId="0" borderId="6" xfId="0" applyFont="1" applyBorder="1"/>
    <xf numFmtId="0" fontId="3" fillId="0" borderId="2" xfId="0" applyFont="1" applyBorder="1" applyAlignment="1">
      <alignment horizontal="center"/>
    </xf>
    <xf numFmtId="0" fontId="2" fillId="0" borderId="5" xfId="0" applyFont="1" applyBorder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7" fillId="0" borderId="8" xfId="0" applyFont="1" applyBorder="1" applyAlignment="1">
      <alignment vertical="center" wrapText="1"/>
    </xf>
    <xf numFmtId="17" fontId="7" fillId="0" borderId="8" xfId="0" applyNumberFormat="1" applyFont="1" applyBorder="1" applyAlignment="1">
      <alignment horizontal="right" vertical="center"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right" vertical="center" wrapText="1"/>
    </xf>
    <xf numFmtId="3" fontId="8" fillId="0" borderId="8" xfId="0" applyNumberFormat="1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4" borderId="12" xfId="0" applyFont="1" applyFill="1" applyBorder="1" applyAlignment="1">
      <alignment vertical="center" wrapText="1"/>
    </xf>
    <xf numFmtId="0" fontId="7" fillId="4" borderId="13" xfId="0" applyFont="1" applyFill="1" applyBorder="1" applyAlignment="1">
      <alignment vertical="center" wrapText="1"/>
    </xf>
    <xf numFmtId="0" fontId="7" fillId="4" borderId="14" xfId="0" applyFont="1" applyFill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3D15-D571-4958-BA82-992F60966F56}">
  <dimension ref="A1:G30"/>
  <sheetViews>
    <sheetView tabSelected="1" workbookViewId="0">
      <selection activeCell="L31" sqref="L31"/>
    </sheetView>
  </sheetViews>
  <sheetFormatPr defaultRowHeight="12.75" x14ac:dyDescent="0.2"/>
  <sheetData>
    <row r="1" spans="1:7" ht="31.5" customHeight="1" thickBot="1" x14ac:dyDescent="0.25">
      <c r="A1" s="31" t="s">
        <v>54</v>
      </c>
      <c r="B1" s="32"/>
      <c r="C1" s="32"/>
      <c r="D1" s="32"/>
      <c r="E1" s="32"/>
      <c r="F1" s="32"/>
      <c r="G1" s="33"/>
    </row>
    <row r="2" spans="1:7" ht="13.5" thickBot="1" x14ac:dyDescent="0.25">
      <c r="A2" s="34" t="s">
        <v>55</v>
      </c>
      <c r="B2" s="25" t="s">
        <v>56</v>
      </c>
      <c r="C2" s="25" t="s">
        <v>57</v>
      </c>
      <c r="D2" s="26">
        <v>46023</v>
      </c>
      <c r="E2" s="26">
        <v>46054</v>
      </c>
      <c r="F2" s="26">
        <v>46082</v>
      </c>
      <c r="G2" s="26">
        <v>46113</v>
      </c>
    </row>
    <row r="3" spans="1:7" ht="13.5" thickBot="1" x14ac:dyDescent="0.25">
      <c r="A3" s="35"/>
      <c r="B3" s="37" t="s">
        <v>58</v>
      </c>
      <c r="C3" s="27" t="s">
        <v>59</v>
      </c>
      <c r="D3" s="28">
        <v>131</v>
      </c>
      <c r="E3" s="28">
        <v>139</v>
      </c>
      <c r="F3" s="28">
        <v>141</v>
      </c>
      <c r="G3" s="28">
        <v>142</v>
      </c>
    </row>
    <row r="4" spans="1:7" ht="13.5" thickBot="1" x14ac:dyDescent="0.25">
      <c r="A4" s="35"/>
      <c r="B4" s="38"/>
      <c r="C4" s="27" t="s">
        <v>60</v>
      </c>
      <c r="D4" s="28">
        <v>356</v>
      </c>
      <c r="E4" s="28">
        <v>349</v>
      </c>
      <c r="F4" s="28">
        <v>340</v>
      </c>
      <c r="G4" s="28">
        <v>334</v>
      </c>
    </row>
    <row r="5" spans="1:7" ht="13.5" thickBot="1" x14ac:dyDescent="0.25">
      <c r="A5" s="35"/>
      <c r="B5" s="38"/>
      <c r="C5" s="27" t="s">
        <v>61</v>
      </c>
      <c r="D5" s="29">
        <v>14673</v>
      </c>
      <c r="E5" s="29">
        <v>14590</v>
      </c>
      <c r="F5" s="29">
        <v>14559</v>
      </c>
      <c r="G5" s="29">
        <v>14559</v>
      </c>
    </row>
    <row r="6" spans="1:7" ht="13.5" thickBot="1" x14ac:dyDescent="0.25">
      <c r="A6" s="35"/>
      <c r="B6" s="39"/>
      <c r="C6" s="27" t="s">
        <v>62</v>
      </c>
      <c r="D6" s="29">
        <v>26600</v>
      </c>
      <c r="E6" s="29">
        <v>27751</v>
      </c>
      <c r="F6" s="29">
        <v>29091</v>
      </c>
      <c r="G6" s="29">
        <v>29209</v>
      </c>
    </row>
    <row r="7" spans="1:7" ht="13.5" thickBot="1" x14ac:dyDescent="0.25">
      <c r="A7" s="35"/>
      <c r="B7" s="37" t="s">
        <v>63</v>
      </c>
      <c r="C7" s="27" t="s">
        <v>64</v>
      </c>
      <c r="D7" s="29">
        <v>9989</v>
      </c>
      <c r="E7" s="29">
        <v>10016</v>
      </c>
      <c r="F7" s="29">
        <v>10031</v>
      </c>
      <c r="G7" s="29">
        <v>10080</v>
      </c>
    </row>
    <row r="8" spans="1:7" ht="13.5" thickBot="1" x14ac:dyDescent="0.25">
      <c r="A8" s="35"/>
      <c r="B8" s="38"/>
      <c r="C8" s="27" t="s">
        <v>65</v>
      </c>
      <c r="D8" s="28">
        <v>0</v>
      </c>
      <c r="E8" s="28">
        <v>0</v>
      </c>
      <c r="F8" s="28">
        <v>0</v>
      </c>
      <c r="G8" s="28">
        <v>0</v>
      </c>
    </row>
    <row r="9" spans="1:7" ht="13.5" thickBot="1" x14ac:dyDescent="0.25">
      <c r="A9" s="35"/>
      <c r="B9" s="38"/>
      <c r="C9" s="27" t="s">
        <v>66</v>
      </c>
      <c r="D9" s="29">
        <v>66514</v>
      </c>
      <c r="E9" s="29">
        <v>67179</v>
      </c>
      <c r="F9" s="29">
        <v>67452</v>
      </c>
      <c r="G9" s="29">
        <v>70891</v>
      </c>
    </row>
    <row r="10" spans="1:7" ht="13.5" thickBot="1" x14ac:dyDescent="0.25">
      <c r="A10" s="35"/>
      <c r="B10" s="38"/>
      <c r="C10" s="27" t="s">
        <v>67</v>
      </c>
      <c r="D10" s="29">
        <v>7823</v>
      </c>
      <c r="E10" s="29">
        <v>7918</v>
      </c>
      <c r="F10" s="29">
        <v>7946</v>
      </c>
      <c r="G10" s="29">
        <v>7996</v>
      </c>
    </row>
    <row r="11" spans="1:7" ht="13.5" thickBot="1" x14ac:dyDescent="0.25">
      <c r="A11" s="35"/>
      <c r="B11" s="38"/>
      <c r="C11" s="27" t="s">
        <v>68</v>
      </c>
      <c r="D11" s="28">
        <v>87</v>
      </c>
      <c r="E11" s="28">
        <v>89</v>
      </c>
      <c r="F11" s="28">
        <v>89</v>
      </c>
      <c r="G11" s="28">
        <v>1</v>
      </c>
    </row>
    <row r="12" spans="1:7" ht="13.5" thickBot="1" x14ac:dyDescent="0.25">
      <c r="A12" s="35"/>
      <c r="B12" s="38"/>
      <c r="C12" s="27" t="s">
        <v>69</v>
      </c>
      <c r="D12" s="28">
        <v>0</v>
      </c>
      <c r="E12" s="28">
        <v>1</v>
      </c>
      <c r="F12" s="28">
        <v>1</v>
      </c>
      <c r="G12" s="28">
        <v>1</v>
      </c>
    </row>
    <row r="13" spans="1:7" ht="13.5" thickBot="1" x14ac:dyDescent="0.25">
      <c r="A13" s="35"/>
      <c r="B13" s="38"/>
      <c r="C13" s="27" t="s">
        <v>70</v>
      </c>
      <c r="D13" s="29">
        <v>13645</v>
      </c>
      <c r="E13" s="29">
        <v>19949</v>
      </c>
      <c r="F13" s="29">
        <v>23531</v>
      </c>
      <c r="G13" s="29">
        <v>24297</v>
      </c>
    </row>
    <row r="14" spans="1:7" ht="13.5" thickBot="1" x14ac:dyDescent="0.25">
      <c r="A14" s="35"/>
      <c r="B14" s="38"/>
      <c r="C14" s="27" t="s">
        <v>71</v>
      </c>
      <c r="D14" s="28">
        <v>10</v>
      </c>
      <c r="E14" s="28">
        <v>11</v>
      </c>
      <c r="F14" s="28">
        <v>11</v>
      </c>
      <c r="G14" s="28">
        <v>13</v>
      </c>
    </row>
    <row r="15" spans="1:7" ht="13.5" thickBot="1" x14ac:dyDescent="0.25">
      <c r="A15" s="35"/>
      <c r="B15" s="39"/>
      <c r="C15" s="27" t="s">
        <v>72</v>
      </c>
      <c r="D15" s="28">
        <v>72</v>
      </c>
      <c r="E15" s="28">
        <v>79</v>
      </c>
      <c r="F15" s="28">
        <v>80</v>
      </c>
      <c r="G15" s="28">
        <v>86</v>
      </c>
    </row>
    <row r="16" spans="1:7" ht="13.5" thickBot="1" x14ac:dyDescent="0.25">
      <c r="A16" s="35"/>
      <c r="B16" s="37" t="s">
        <v>73</v>
      </c>
      <c r="C16" s="27" t="s">
        <v>74</v>
      </c>
      <c r="D16" s="29">
        <v>1578</v>
      </c>
      <c r="E16" s="29">
        <v>1582</v>
      </c>
      <c r="F16" s="29">
        <v>1582</v>
      </c>
      <c r="G16" s="29">
        <v>1693</v>
      </c>
    </row>
    <row r="17" spans="1:7" ht="13.5" thickBot="1" x14ac:dyDescent="0.25">
      <c r="A17" s="35"/>
      <c r="B17" s="38"/>
      <c r="C17" s="27" t="s">
        <v>75</v>
      </c>
      <c r="D17" s="29">
        <v>2195</v>
      </c>
      <c r="E17" s="29">
        <v>2720</v>
      </c>
      <c r="F17" s="29">
        <v>2812</v>
      </c>
      <c r="G17" s="29">
        <v>2892</v>
      </c>
    </row>
    <row r="18" spans="1:7" ht="13.5" thickBot="1" x14ac:dyDescent="0.25">
      <c r="A18" s="35"/>
      <c r="B18" s="38"/>
      <c r="C18" s="27" t="s">
        <v>76</v>
      </c>
      <c r="D18" s="29">
        <v>1014</v>
      </c>
      <c r="E18" s="29">
        <v>1055</v>
      </c>
      <c r="F18" s="29">
        <v>1060</v>
      </c>
      <c r="G18" s="29">
        <v>1099</v>
      </c>
    </row>
    <row r="19" spans="1:7" ht="13.5" thickBot="1" x14ac:dyDescent="0.25">
      <c r="A19" s="35"/>
      <c r="B19" s="38"/>
      <c r="C19" s="27" t="s">
        <v>77</v>
      </c>
      <c r="D19" s="29">
        <v>40337</v>
      </c>
      <c r="E19" s="29">
        <v>40118</v>
      </c>
      <c r="F19" s="29">
        <v>40017</v>
      </c>
      <c r="G19" s="29">
        <v>39904</v>
      </c>
    </row>
    <row r="20" spans="1:7" ht="13.5" thickBot="1" x14ac:dyDescent="0.25">
      <c r="A20" s="35"/>
      <c r="B20" s="38"/>
      <c r="C20" s="27" t="s">
        <v>78</v>
      </c>
      <c r="D20" s="29">
        <v>10994</v>
      </c>
      <c r="E20" s="29">
        <v>11113</v>
      </c>
      <c r="F20" s="29">
        <v>11138</v>
      </c>
      <c r="G20" s="29">
        <v>11113</v>
      </c>
    </row>
    <row r="21" spans="1:7" ht="13.5" thickBot="1" x14ac:dyDescent="0.25">
      <c r="A21" s="35"/>
      <c r="B21" s="38"/>
      <c r="C21" s="27" t="s">
        <v>79</v>
      </c>
      <c r="D21" s="28">
        <v>42</v>
      </c>
      <c r="E21" s="28">
        <v>58</v>
      </c>
      <c r="F21" s="28">
        <v>58</v>
      </c>
      <c r="G21" s="28">
        <v>68</v>
      </c>
    </row>
    <row r="22" spans="1:7" ht="13.5" thickBot="1" x14ac:dyDescent="0.25">
      <c r="A22" s="35"/>
      <c r="B22" s="39"/>
      <c r="C22" s="27" t="s">
        <v>80</v>
      </c>
      <c r="D22" s="28">
        <v>140</v>
      </c>
      <c r="E22" s="28">
        <v>288</v>
      </c>
      <c r="F22" s="28">
        <v>369</v>
      </c>
      <c r="G22" s="28">
        <v>434</v>
      </c>
    </row>
    <row r="23" spans="1:7" ht="13.5" thickBot="1" x14ac:dyDescent="0.25">
      <c r="A23" s="35"/>
      <c r="B23" s="37" t="s">
        <v>81</v>
      </c>
      <c r="C23" s="27" t="s">
        <v>82</v>
      </c>
      <c r="D23" s="29">
        <v>80492</v>
      </c>
      <c r="E23" s="29">
        <v>80494</v>
      </c>
      <c r="F23" s="29">
        <v>80456</v>
      </c>
      <c r="G23" s="29">
        <v>80046</v>
      </c>
    </row>
    <row r="24" spans="1:7" ht="13.5" thickBot="1" x14ac:dyDescent="0.25">
      <c r="A24" s="35"/>
      <c r="B24" s="38"/>
      <c r="C24" s="27" t="s">
        <v>83</v>
      </c>
      <c r="D24" s="29">
        <v>47005</v>
      </c>
      <c r="E24" s="29">
        <v>43583</v>
      </c>
      <c r="F24" s="29">
        <v>50339</v>
      </c>
      <c r="G24" s="29">
        <v>61041</v>
      </c>
    </row>
    <row r="25" spans="1:7" ht="13.5" thickBot="1" x14ac:dyDescent="0.25">
      <c r="A25" s="35"/>
      <c r="B25" s="38"/>
      <c r="C25" s="27" t="s">
        <v>84</v>
      </c>
      <c r="D25" s="29">
        <v>1326</v>
      </c>
      <c r="E25" s="29">
        <v>1327</v>
      </c>
      <c r="F25" s="29">
        <v>1328</v>
      </c>
      <c r="G25" s="29">
        <v>1329</v>
      </c>
    </row>
    <row r="26" spans="1:7" ht="13.5" thickBot="1" x14ac:dyDescent="0.25">
      <c r="A26" s="35"/>
      <c r="B26" s="39"/>
      <c r="C26" s="27" t="s">
        <v>85</v>
      </c>
      <c r="D26" s="29">
        <v>169403</v>
      </c>
      <c r="E26" s="29">
        <v>169320</v>
      </c>
      <c r="F26" s="29">
        <v>169225</v>
      </c>
      <c r="G26" s="29">
        <v>168521</v>
      </c>
    </row>
    <row r="27" spans="1:7" ht="13.5" thickBot="1" x14ac:dyDescent="0.25">
      <c r="A27" s="35"/>
      <c r="B27" s="37" t="s">
        <v>86</v>
      </c>
      <c r="C27" s="27" t="s">
        <v>87</v>
      </c>
      <c r="D27" s="29">
        <v>56965</v>
      </c>
      <c r="E27" s="29">
        <v>77625</v>
      </c>
      <c r="F27" s="29">
        <v>77607</v>
      </c>
      <c r="G27" s="29">
        <v>77562</v>
      </c>
    </row>
    <row r="28" spans="1:7" ht="13.5" thickBot="1" x14ac:dyDescent="0.25">
      <c r="A28" s="35"/>
      <c r="B28" s="38"/>
      <c r="C28" s="27" t="s">
        <v>88</v>
      </c>
      <c r="D28" s="28">
        <v>18</v>
      </c>
      <c r="E28" s="28">
        <v>18</v>
      </c>
      <c r="F28" s="28">
        <v>19</v>
      </c>
      <c r="G28" s="28">
        <v>24</v>
      </c>
    </row>
    <row r="29" spans="1:7" ht="13.5" thickBot="1" x14ac:dyDescent="0.25">
      <c r="A29" s="36"/>
      <c r="B29" s="39"/>
      <c r="C29" s="27" t="s">
        <v>89</v>
      </c>
      <c r="D29" s="28">
        <v>44</v>
      </c>
      <c r="E29" s="28">
        <v>46</v>
      </c>
      <c r="F29" s="28">
        <v>46</v>
      </c>
      <c r="G29" s="28">
        <v>46</v>
      </c>
    </row>
    <row r="30" spans="1:7" ht="16.5" thickBot="1" x14ac:dyDescent="0.25">
      <c r="A30" s="27"/>
      <c r="B30" s="27"/>
      <c r="C30" s="27" t="s">
        <v>90</v>
      </c>
      <c r="D30" s="30">
        <v>551453</v>
      </c>
      <c r="E30" s="30">
        <v>577418</v>
      </c>
      <c r="F30" s="30">
        <v>589328</v>
      </c>
      <c r="G30" s="30">
        <v>603381</v>
      </c>
    </row>
  </sheetData>
  <mergeCells count="7">
    <mergeCell ref="A1:G1"/>
    <mergeCell ref="A2:A29"/>
    <mergeCell ref="B3:B6"/>
    <mergeCell ref="B7:B15"/>
    <mergeCell ref="B16:B22"/>
    <mergeCell ref="B23:B26"/>
    <mergeCell ref="B27:B2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2"/>
  <sheetViews>
    <sheetView workbookViewId="0">
      <selection activeCell="M7" sqref="M7"/>
    </sheetView>
  </sheetViews>
  <sheetFormatPr defaultColWidth="12.5703125" defaultRowHeight="15.75" customHeight="1" x14ac:dyDescent="0.2"/>
  <cols>
    <col min="1" max="1" width="11.85546875" customWidth="1"/>
    <col min="2" max="2" width="31.28515625" customWidth="1"/>
    <col min="3" max="3" width="31.28515625" style="23" customWidth="1"/>
    <col min="4" max="4" width="20.5703125" style="23" customWidth="1"/>
    <col min="5" max="5" width="16.42578125" style="23" customWidth="1"/>
    <col min="6" max="6" width="12.5703125" style="23"/>
    <col min="7" max="7" width="19.42578125" style="23" customWidth="1"/>
    <col min="8" max="8" width="12.5703125" style="23"/>
    <col min="9" max="9" width="12.5703125" style="23" hidden="1"/>
    <col min="10" max="10" width="12.5703125" style="23"/>
  </cols>
  <sheetData>
    <row r="1" spans="1:12" x14ac:dyDescent="0.2">
      <c r="A1" s="12" t="s">
        <v>0</v>
      </c>
      <c r="B1" s="12" t="s">
        <v>1</v>
      </c>
      <c r="C1" s="12" t="s">
        <v>2</v>
      </c>
      <c r="D1" s="12" t="s">
        <v>3</v>
      </c>
      <c r="E1" s="10" t="s">
        <v>4</v>
      </c>
      <c r="F1" s="19"/>
      <c r="G1" s="19"/>
      <c r="H1" s="19"/>
      <c r="I1" s="19"/>
      <c r="J1" s="20"/>
    </row>
    <row r="2" spans="1:12" x14ac:dyDescent="0.2">
      <c r="A2" s="15"/>
      <c r="B2" s="15"/>
      <c r="C2" s="21"/>
      <c r="D2" s="21"/>
      <c r="E2" s="12" t="s">
        <v>5</v>
      </c>
      <c r="F2" s="12" t="s">
        <v>6</v>
      </c>
      <c r="G2" s="10" t="s">
        <v>7</v>
      </c>
      <c r="H2" s="19"/>
      <c r="I2" s="20"/>
      <c r="J2" s="12" t="s">
        <v>8</v>
      </c>
    </row>
    <row r="3" spans="1:12" x14ac:dyDescent="0.2">
      <c r="A3" s="13"/>
      <c r="B3" s="13"/>
      <c r="C3" s="22"/>
      <c r="D3" s="22"/>
      <c r="E3" s="22"/>
      <c r="F3" s="22"/>
      <c r="G3" s="1" t="s">
        <v>9</v>
      </c>
      <c r="H3" s="1" t="s">
        <v>10</v>
      </c>
      <c r="I3" s="1" t="s">
        <v>11</v>
      </c>
      <c r="J3" s="22"/>
    </row>
    <row r="4" spans="1:12" x14ac:dyDescent="0.2">
      <c r="A4" s="14">
        <v>2022</v>
      </c>
      <c r="B4" s="11"/>
      <c r="C4" s="4">
        <v>255373</v>
      </c>
      <c r="D4" s="3"/>
      <c r="E4" s="3">
        <v>0</v>
      </c>
      <c r="F4" s="3"/>
      <c r="G4" s="3">
        <v>0</v>
      </c>
      <c r="H4" s="3"/>
      <c r="I4" s="3"/>
      <c r="J4" s="3">
        <f t="shared" ref="J4:J32" si="0">SUM(D4:I4)</f>
        <v>0</v>
      </c>
    </row>
    <row r="5" spans="1:12" x14ac:dyDescent="0.2">
      <c r="A5" s="14">
        <v>2023</v>
      </c>
      <c r="B5" s="11"/>
      <c r="C5" s="4">
        <v>278938</v>
      </c>
      <c r="D5" s="3"/>
      <c r="E5" s="3">
        <v>1</v>
      </c>
      <c r="F5" s="3"/>
      <c r="G5" s="3">
        <v>1</v>
      </c>
      <c r="H5" s="3"/>
      <c r="I5" s="3"/>
      <c r="J5" s="3">
        <f t="shared" si="0"/>
        <v>2</v>
      </c>
    </row>
    <row r="6" spans="1:12" x14ac:dyDescent="0.2">
      <c r="A6" s="14">
        <v>2024</v>
      </c>
      <c r="B6" s="11"/>
      <c r="C6" s="4">
        <v>301000</v>
      </c>
      <c r="D6" s="3"/>
      <c r="E6" s="3">
        <v>42</v>
      </c>
      <c r="F6" s="3"/>
      <c r="G6" s="3">
        <v>24</v>
      </c>
      <c r="H6" s="3"/>
      <c r="I6" s="3"/>
      <c r="J6" s="3">
        <f t="shared" si="0"/>
        <v>66</v>
      </c>
    </row>
    <row r="7" spans="1:12" x14ac:dyDescent="0.2">
      <c r="A7" s="14">
        <v>2025</v>
      </c>
      <c r="B7" s="11"/>
      <c r="C7" s="4">
        <v>329978</v>
      </c>
      <c r="D7" s="4">
        <f>320811</f>
        <v>320811</v>
      </c>
      <c r="E7" s="4">
        <f>1563</f>
        <v>1563</v>
      </c>
      <c r="F7" s="4">
        <v>1574</v>
      </c>
      <c r="G7" s="4">
        <f t="shared" ref="G7:G9" si="1">C7-D7-E7-F7</f>
        <v>6030</v>
      </c>
      <c r="H7" s="3">
        <v>0</v>
      </c>
      <c r="I7" s="3"/>
      <c r="J7" s="4">
        <f t="shared" si="0"/>
        <v>329978</v>
      </c>
    </row>
    <row r="8" spans="1:12" x14ac:dyDescent="0.2">
      <c r="A8" s="2">
        <v>2026</v>
      </c>
      <c r="B8" s="2" t="s">
        <v>12</v>
      </c>
      <c r="C8" s="4">
        <v>330302</v>
      </c>
      <c r="D8" s="4">
        <f>294684</f>
        <v>294684</v>
      </c>
      <c r="E8" s="4">
        <f>20010</f>
        <v>20010</v>
      </c>
      <c r="F8" s="4">
        <v>1662</v>
      </c>
      <c r="G8" s="4">
        <f t="shared" si="1"/>
        <v>13946</v>
      </c>
      <c r="H8" s="3">
        <v>0</v>
      </c>
      <c r="I8" s="3"/>
      <c r="J8" s="4">
        <f t="shared" si="0"/>
        <v>330302</v>
      </c>
    </row>
    <row r="9" spans="1:12" x14ac:dyDescent="0.2">
      <c r="A9" s="2">
        <v>2026</v>
      </c>
      <c r="B9" s="2" t="s">
        <v>13</v>
      </c>
      <c r="C9" s="4">
        <v>330996</v>
      </c>
      <c r="D9" s="4">
        <f>294546</f>
        <v>294546</v>
      </c>
      <c r="E9" s="4">
        <f>20006</f>
        <v>20006</v>
      </c>
      <c r="F9" s="4">
        <v>1677</v>
      </c>
      <c r="G9" s="4">
        <f t="shared" si="1"/>
        <v>14767</v>
      </c>
      <c r="H9" s="3">
        <v>0</v>
      </c>
      <c r="I9" s="3"/>
      <c r="J9" s="4">
        <f t="shared" si="0"/>
        <v>330996</v>
      </c>
    </row>
    <row r="10" spans="1:12" x14ac:dyDescent="0.2">
      <c r="A10" s="2">
        <v>2026</v>
      </c>
      <c r="B10" s="2" t="s">
        <v>14</v>
      </c>
      <c r="C10" s="4">
        <v>331645</v>
      </c>
      <c r="D10" s="4">
        <f>290070</f>
        <v>290070</v>
      </c>
      <c r="E10" s="4">
        <f>23571</f>
        <v>23571</v>
      </c>
      <c r="F10" s="4">
        <v>1708</v>
      </c>
      <c r="G10" s="4">
        <f>C10-D10-E10-F10-H10</f>
        <v>15967</v>
      </c>
      <c r="H10" s="3">
        <v>329</v>
      </c>
      <c r="I10" s="3"/>
      <c r="J10" s="4">
        <f t="shared" si="0"/>
        <v>331645</v>
      </c>
      <c r="L10" s="24"/>
    </row>
    <row r="11" spans="1:12" x14ac:dyDescent="0.2">
      <c r="A11" s="2">
        <v>2026</v>
      </c>
      <c r="B11" s="2" t="s">
        <v>15</v>
      </c>
      <c r="C11" s="4">
        <v>332028</v>
      </c>
      <c r="D11" s="4">
        <v>255427</v>
      </c>
      <c r="E11" s="4">
        <v>25136</v>
      </c>
      <c r="F11" s="4">
        <v>1729</v>
      </c>
      <c r="G11" s="4">
        <v>49407</v>
      </c>
      <c r="H11" s="3">
        <v>329</v>
      </c>
      <c r="I11" s="3"/>
      <c r="J11" s="4">
        <f t="shared" si="0"/>
        <v>332028</v>
      </c>
      <c r="L11" s="5">
        <f>E11+F11+G11+H11</f>
        <v>76601</v>
      </c>
    </row>
    <row r="12" spans="1:12" x14ac:dyDescent="0.2">
      <c r="A12" s="2">
        <v>2026</v>
      </c>
      <c r="B12" s="2" t="s">
        <v>16</v>
      </c>
      <c r="C12" s="3"/>
      <c r="D12" s="3"/>
      <c r="E12" s="3"/>
      <c r="F12" s="3"/>
      <c r="G12" s="3"/>
      <c r="H12" s="3"/>
      <c r="I12" s="3"/>
      <c r="J12" s="3">
        <f t="shared" si="0"/>
        <v>0</v>
      </c>
    </row>
    <row r="13" spans="1:12" x14ac:dyDescent="0.2">
      <c r="A13" s="2">
        <v>2026</v>
      </c>
      <c r="B13" s="2" t="s">
        <v>17</v>
      </c>
      <c r="C13" s="3"/>
      <c r="D13" s="3"/>
      <c r="E13" s="3"/>
      <c r="F13" s="3"/>
      <c r="G13" s="3"/>
      <c r="H13" s="3"/>
      <c r="I13" s="3"/>
      <c r="J13" s="3">
        <f t="shared" si="0"/>
        <v>0</v>
      </c>
    </row>
    <row r="14" spans="1:12" x14ac:dyDescent="0.2">
      <c r="A14" s="2">
        <v>2026</v>
      </c>
      <c r="B14" s="2" t="s">
        <v>18</v>
      </c>
      <c r="C14" s="3"/>
      <c r="D14" s="3"/>
      <c r="E14" s="3"/>
      <c r="F14" s="3"/>
      <c r="G14" s="3"/>
      <c r="H14" s="3"/>
      <c r="I14" s="3"/>
      <c r="J14" s="3">
        <f t="shared" si="0"/>
        <v>0</v>
      </c>
    </row>
    <row r="15" spans="1:12" x14ac:dyDescent="0.2">
      <c r="A15" s="2">
        <v>2026</v>
      </c>
      <c r="B15" s="2" t="s">
        <v>19</v>
      </c>
      <c r="C15" s="3"/>
      <c r="D15" s="3"/>
      <c r="E15" s="3"/>
      <c r="F15" s="3"/>
      <c r="G15" s="3"/>
      <c r="H15" s="3"/>
      <c r="I15" s="3"/>
      <c r="J15" s="3">
        <f t="shared" si="0"/>
        <v>0</v>
      </c>
    </row>
    <row r="16" spans="1:12" x14ac:dyDescent="0.2">
      <c r="A16" s="2">
        <v>2026</v>
      </c>
      <c r="B16" s="2" t="s">
        <v>20</v>
      </c>
      <c r="C16" s="3"/>
      <c r="D16" s="3"/>
      <c r="E16" s="3"/>
      <c r="F16" s="3"/>
      <c r="G16" s="3"/>
      <c r="H16" s="3"/>
      <c r="I16" s="3"/>
      <c r="J16" s="3">
        <f t="shared" si="0"/>
        <v>0</v>
      </c>
    </row>
    <row r="17" spans="1:10" x14ac:dyDescent="0.2">
      <c r="A17" s="2">
        <v>2026</v>
      </c>
      <c r="B17" s="2" t="s">
        <v>21</v>
      </c>
      <c r="C17" s="3"/>
      <c r="D17" s="3"/>
      <c r="E17" s="3"/>
      <c r="F17" s="3"/>
      <c r="G17" s="3"/>
      <c r="H17" s="3"/>
      <c r="I17" s="3"/>
      <c r="J17" s="3">
        <f t="shared" si="0"/>
        <v>0</v>
      </c>
    </row>
    <row r="18" spans="1:10" x14ac:dyDescent="0.2">
      <c r="A18" s="2">
        <v>2026</v>
      </c>
      <c r="B18" s="2" t="s">
        <v>22</v>
      </c>
      <c r="C18" s="3"/>
      <c r="D18" s="3"/>
      <c r="E18" s="3"/>
      <c r="F18" s="3"/>
      <c r="G18" s="3"/>
      <c r="H18" s="3"/>
      <c r="I18" s="3"/>
      <c r="J18" s="3">
        <f t="shared" si="0"/>
        <v>0</v>
      </c>
    </row>
    <row r="19" spans="1:10" x14ac:dyDescent="0.2">
      <c r="A19" s="2">
        <v>2026</v>
      </c>
      <c r="B19" s="2" t="s">
        <v>23</v>
      </c>
      <c r="C19" s="3"/>
      <c r="D19" s="3"/>
      <c r="E19" s="3"/>
      <c r="F19" s="3"/>
      <c r="G19" s="3"/>
      <c r="H19" s="3"/>
      <c r="I19" s="3"/>
      <c r="J19" s="3">
        <f t="shared" si="0"/>
        <v>0</v>
      </c>
    </row>
    <row r="20" spans="1:10" x14ac:dyDescent="0.2">
      <c r="A20" s="2">
        <v>2027</v>
      </c>
      <c r="B20" s="2" t="s">
        <v>12</v>
      </c>
      <c r="C20" s="3"/>
      <c r="D20" s="3"/>
      <c r="E20" s="3"/>
      <c r="F20" s="3"/>
      <c r="G20" s="3"/>
      <c r="H20" s="3"/>
      <c r="I20" s="3"/>
      <c r="J20" s="3">
        <f t="shared" si="0"/>
        <v>0</v>
      </c>
    </row>
    <row r="21" spans="1:10" x14ac:dyDescent="0.2">
      <c r="A21" s="2">
        <v>2027</v>
      </c>
      <c r="B21" s="2" t="s">
        <v>13</v>
      </c>
      <c r="C21" s="3"/>
      <c r="D21" s="3"/>
      <c r="E21" s="3"/>
      <c r="F21" s="3"/>
      <c r="G21" s="3"/>
      <c r="H21" s="3"/>
      <c r="I21" s="3"/>
      <c r="J21" s="3">
        <f t="shared" si="0"/>
        <v>0</v>
      </c>
    </row>
    <row r="22" spans="1:10" x14ac:dyDescent="0.2">
      <c r="A22" s="2">
        <v>2027</v>
      </c>
      <c r="B22" s="2" t="s">
        <v>14</v>
      </c>
      <c r="C22" s="3"/>
      <c r="D22" s="3"/>
      <c r="E22" s="3"/>
      <c r="F22" s="3"/>
      <c r="G22" s="3"/>
      <c r="H22" s="3"/>
      <c r="I22" s="3"/>
      <c r="J22" s="3">
        <f t="shared" si="0"/>
        <v>0</v>
      </c>
    </row>
    <row r="23" spans="1:10" x14ac:dyDescent="0.2">
      <c r="A23" s="2">
        <v>2027</v>
      </c>
      <c r="B23" s="2" t="s">
        <v>15</v>
      </c>
      <c r="C23" s="3"/>
      <c r="D23" s="3"/>
      <c r="E23" s="3"/>
      <c r="F23" s="3"/>
      <c r="G23" s="3"/>
      <c r="H23" s="3"/>
      <c r="I23" s="3"/>
      <c r="J23" s="3">
        <f t="shared" si="0"/>
        <v>0</v>
      </c>
    </row>
    <row r="24" spans="1:10" x14ac:dyDescent="0.2">
      <c r="A24" s="2">
        <v>2027</v>
      </c>
      <c r="B24" s="2" t="s">
        <v>16</v>
      </c>
      <c r="C24" s="3"/>
      <c r="D24" s="3"/>
      <c r="E24" s="3"/>
      <c r="F24" s="3"/>
      <c r="G24" s="3"/>
      <c r="H24" s="3"/>
      <c r="I24" s="3"/>
      <c r="J24" s="3">
        <f t="shared" si="0"/>
        <v>0</v>
      </c>
    </row>
    <row r="25" spans="1:10" x14ac:dyDescent="0.2">
      <c r="A25" s="2">
        <v>2027</v>
      </c>
      <c r="B25" s="2" t="s">
        <v>17</v>
      </c>
      <c r="C25" s="3"/>
      <c r="D25" s="3"/>
      <c r="E25" s="3"/>
      <c r="F25" s="3"/>
      <c r="G25" s="3"/>
      <c r="H25" s="3"/>
      <c r="I25" s="3"/>
      <c r="J25" s="3">
        <f t="shared" si="0"/>
        <v>0</v>
      </c>
    </row>
    <row r="26" spans="1:10" x14ac:dyDescent="0.2">
      <c r="A26" s="2">
        <v>2027</v>
      </c>
      <c r="B26" s="2" t="s">
        <v>18</v>
      </c>
      <c r="C26" s="3"/>
      <c r="D26" s="3"/>
      <c r="E26" s="3"/>
      <c r="F26" s="3"/>
      <c r="G26" s="3"/>
      <c r="H26" s="3"/>
      <c r="I26" s="3"/>
      <c r="J26" s="3">
        <f t="shared" si="0"/>
        <v>0</v>
      </c>
    </row>
    <row r="27" spans="1:10" x14ac:dyDescent="0.2">
      <c r="A27" s="2">
        <v>2027</v>
      </c>
      <c r="B27" s="2" t="s">
        <v>19</v>
      </c>
      <c r="C27" s="3"/>
      <c r="D27" s="3"/>
      <c r="E27" s="3"/>
      <c r="F27" s="3"/>
      <c r="G27" s="3"/>
      <c r="H27" s="3"/>
      <c r="I27" s="3"/>
      <c r="J27" s="3">
        <f t="shared" si="0"/>
        <v>0</v>
      </c>
    </row>
    <row r="28" spans="1:10" x14ac:dyDescent="0.2">
      <c r="A28" s="2">
        <v>2027</v>
      </c>
      <c r="B28" s="2" t="s">
        <v>20</v>
      </c>
      <c r="C28" s="3"/>
      <c r="D28" s="3"/>
      <c r="E28" s="3"/>
      <c r="F28" s="3"/>
      <c r="G28" s="3"/>
      <c r="H28" s="3"/>
      <c r="I28" s="3"/>
      <c r="J28" s="3">
        <f t="shared" si="0"/>
        <v>0</v>
      </c>
    </row>
    <row r="29" spans="1:10" x14ac:dyDescent="0.2">
      <c r="A29" s="2">
        <v>2027</v>
      </c>
      <c r="B29" s="2" t="s">
        <v>21</v>
      </c>
      <c r="C29" s="3"/>
      <c r="D29" s="3"/>
      <c r="E29" s="3"/>
      <c r="F29" s="3"/>
      <c r="G29" s="3"/>
      <c r="H29" s="3"/>
      <c r="I29" s="3"/>
      <c r="J29" s="3">
        <f t="shared" si="0"/>
        <v>0</v>
      </c>
    </row>
    <row r="30" spans="1:10" x14ac:dyDescent="0.2">
      <c r="A30" s="2">
        <v>2027</v>
      </c>
      <c r="B30" s="2" t="s">
        <v>22</v>
      </c>
      <c r="C30" s="3"/>
      <c r="D30" s="3"/>
      <c r="E30" s="3"/>
      <c r="F30" s="3"/>
      <c r="G30" s="3"/>
      <c r="H30" s="3"/>
      <c r="I30" s="3"/>
      <c r="J30" s="3">
        <f t="shared" si="0"/>
        <v>0</v>
      </c>
    </row>
    <row r="31" spans="1:10" x14ac:dyDescent="0.2">
      <c r="A31" s="2">
        <v>2027</v>
      </c>
      <c r="B31" s="2" t="s">
        <v>23</v>
      </c>
      <c r="C31" s="3"/>
      <c r="D31" s="3"/>
      <c r="E31" s="3"/>
      <c r="F31" s="3"/>
      <c r="G31" s="3"/>
      <c r="H31" s="3"/>
      <c r="I31" s="3"/>
      <c r="J31" s="3">
        <f t="shared" si="0"/>
        <v>0</v>
      </c>
    </row>
    <row r="32" spans="1:10" x14ac:dyDescent="0.2">
      <c r="A32" s="6">
        <v>2028</v>
      </c>
      <c r="B32" s="2" t="s">
        <v>12</v>
      </c>
      <c r="C32" s="3"/>
      <c r="D32" s="3"/>
      <c r="E32" s="3"/>
      <c r="F32" s="3"/>
      <c r="G32" s="3"/>
      <c r="H32" s="3"/>
      <c r="I32" s="3"/>
      <c r="J32" s="3">
        <f t="shared" si="0"/>
        <v>0</v>
      </c>
    </row>
  </sheetData>
  <mergeCells count="13">
    <mergeCell ref="E1:J1"/>
    <mergeCell ref="E2:E3"/>
    <mergeCell ref="F2:F3"/>
    <mergeCell ref="A7:B7"/>
    <mergeCell ref="A1:A3"/>
    <mergeCell ref="B1:B3"/>
    <mergeCell ref="C1:C3"/>
    <mergeCell ref="D1:D3"/>
    <mergeCell ref="G2:I2"/>
    <mergeCell ref="J2:J3"/>
    <mergeCell ref="A4:B4"/>
    <mergeCell ref="A5:B5"/>
    <mergeCell ref="A6:B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4"/>
  <sheetViews>
    <sheetView zoomScale="85" zoomScaleNormal="85" workbookViewId="0">
      <selection activeCell="A35" sqref="A35"/>
    </sheetView>
  </sheetViews>
  <sheetFormatPr defaultColWidth="12.5703125" defaultRowHeight="15.75" customHeight="1" x14ac:dyDescent="0.2"/>
  <cols>
    <col min="1" max="2" width="62.85546875" customWidth="1"/>
    <col min="3" max="3" width="42.7109375" customWidth="1"/>
    <col min="4" max="4" width="71.5703125" customWidth="1"/>
    <col min="5" max="5" width="41.5703125" customWidth="1"/>
    <col min="6" max="6" width="43.7109375" hidden="1" customWidth="1"/>
    <col min="10" max="10" width="19.85546875" customWidth="1"/>
  </cols>
  <sheetData>
    <row r="1" spans="1:12" x14ac:dyDescent="0.2">
      <c r="A1" s="18" t="s">
        <v>3</v>
      </c>
      <c r="B1" s="16" t="s">
        <v>4</v>
      </c>
      <c r="C1" s="17"/>
      <c r="D1" s="17"/>
      <c r="E1" s="17"/>
      <c r="F1" s="17"/>
    </row>
    <row r="2" spans="1:12" x14ac:dyDescent="0.2">
      <c r="A2" s="13"/>
      <c r="B2" s="7" t="s">
        <v>5</v>
      </c>
      <c r="C2" s="7" t="s">
        <v>6</v>
      </c>
      <c r="D2" s="7" t="s">
        <v>9</v>
      </c>
      <c r="E2" s="7" t="s">
        <v>10</v>
      </c>
      <c r="F2" s="7" t="s">
        <v>11</v>
      </c>
      <c r="J2" s="6" t="s">
        <v>24</v>
      </c>
      <c r="K2" s="5">
        <v>70384</v>
      </c>
      <c r="L2" s="6">
        <v>255384</v>
      </c>
    </row>
    <row r="3" spans="1:12" ht="15.75" customHeight="1" x14ac:dyDescent="0.25">
      <c r="A3" s="2" t="s">
        <v>25</v>
      </c>
      <c r="B3" s="8" t="s">
        <v>26</v>
      </c>
      <c r="C3" s="8" t="s">
        <v>27</v>
      </c>
      <c r="D3" s="8" t="s">
        <v>28</v>
      </c>
      <c r="E3" s="2"/>
      <c r="F3" s="9" t="s">
        <v>29</v>
      </c>
      <c r="J3" s="6" t="s">
        <v>30</v>
      </c>
      <c r="K3" s="5">
        <v>43715</v>
      </c>
      <c r="L3" s="6">
        <v>48873</v>
      </c>
    </row>
    <row r="4" spans="1:12" ht="15.75" customHeight="1" x14ac:dyDescent="0.25">
      <c r="A4" s="2" t="s">
        <v>31</v>
      </c>
      <c r="B4" s="8" t="s">
        <v>32</v>
      </c>
      <c r="C4" s="8" t="s">
        <v>33</v>
      </c>
      <c r="D4" s="8" t="s">
        <v>34</v>
      </c>
      <c r="E4" s="2"/>
      <c r="F4" s="9" t="s">
        <v>35</v>
      </c>
      <c r="J4" s="6" t="s">
        <v>36</v>
      </c>
      <c r="K4" s="6">
        <v>23</v>
      </c>
      <c r="L4" s="6">
        <v>504</v>
      </c>
    </row>
    <row r="5" spans="1:12" ht="15.75" customHeight="1" x14ac:dyDescent="0.25">
      <c r="A5" s="2" t="s">
        <v>37</v>
      </c>
      <c r="B5" s="8" t="s">
        <v>38</v>
      </c>
      <c r="C5" s="8" t="s">
        <v>39</v>
      </c>
      <c r="D5" s="8" t="s">
        <v>40</v>
      </c>
      <c r="E5" s="2"/>
      <c r="F5" s="9" t="s">
        <v>41</v>
      </c>
      <c r="J5" s="6" t="s">
        <v>42</v>
      </c>
      <c r="K5" s="5">
        <v>5159</v>
      </c>
      <c r="L5" s="6">
        <v>5158</v>
      </c>
    </row>
    <row r="6" spans="1:12" ht="15.75" customHeight="1" x14ac:dyDescent="0.25">
      <c r="A6" s="8" t="s">
        <v>43</v>
      </c>
      <c r="B6" s="8" t="s">
        <v>44</v>
      </c>
      <c r="C6" s="2"/>
      <c r="D6" s="8" t="s">
        <v>45</v>
      </c>
      <c r="E6" s="2"/>
      <c r="F6" s="2"/>
      <c r="J6" s="6" t="s">
        <v>46</v>
      </c>
      <c r="K6" s="6">
        <v>323</v>
      </c>
      <c r="L6" s="6">
        <v>329</v>
      </c>
    </row>
    <row r="7" spans="1:12" ht="15.75" customHeight="1" x14ac:dyDescent="0.25">
      <c r="A7" s="8" t="s">
        <v>47</v>
      </c>
      <c r="B7" s="8" t="s">
        <v>48</v>
      </c>
      <c r="C7" s="2"/>
      <c r="D7" s="2" t="s">
        <v>49</v>
      </c>
      <c r="E7" s="2"/>
      <c r="F7" s="2"/>
      <c r="J7" s="6" t="s">
        <v>50</v>
      </c>
      <c r="K7" s="6">
        <v>2</v>
      </c>
      <c r="L7" s="6">
        <v>2</v>
      </c>
    </row>
    <row r="8" spans="1:12" ht="15.75" customHeight="1" x14ac:dyDescent="0.25">
      <c r="A8" s="8" t="s">
        <v>51</v>
      </c>
      <c r="C8" s="2"/>
      <c r="D8" s="9" t="s">
        <v>29</v>
      </c>
      <c r="E8" s="2"/>
      <c r="F8" s="2"/>
      <c r="K8" s="5">
        <f t="shared" ref="K8:L8" si="0">SUM(K2:K7)</f>
        <v>119606</v>
      </c>
      <c r="L8" s="6">
        <f t="shared" si="0"/>
        <v>310250</v>
      </c>
    </row>
    <row r="9" spans="1:12" ht="15.75" customHeight="1" x14ac:dyDescent="0.25">
      <c r="A9" s="2"/>
      <c r="B9" s="2"/>
      <c r="C9" s="2"/>
      <c r="D9" s="9" t="s">
        <v>35</v>
      </c>
      <c r="E9" s="2"/>
      <c r="F9" s="2"/>
    </row>
    <row r="10" spans="1:12" ht="15.75" customHeight="1" x14ac:dyDescent="0.25">
      <c r="A10" s="2"/>
      <c r="B10" s="2"/>
      <c r="C10" s="2"/>
      <c r="D10" s="9"/>
      <c r="E10" s="2"/>
      <c r="F10" s="2"/>
    </row>
    <row r="12" spans="1:12" x14ac:dyDescent="0.2">
      <c r="E12" s="6" t="s">
        <v>52</v>
      </c>
    </row>
    <row r="13" spans="1:12" x14ac:dyDescent="0.2">
      <c r="E13" s="6" t="s">
        <v>53</v>
      </c>
    </row>
    <row r="34" spans="4:4" x14ac:dyDescent="0.2">
      <c r="D34" s="5"/>
    </row>
  </sheetData>
  <mergeCells count="2">
    <mergeCell ref="B1:F1"/>
    <mergeCell ref="A1:A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Geral</vt:lpstr>
      <vt:lpstr>RESULTADOS</vt:lpstr>
      <vt:lpstr>EQUIVALÊNCIA DE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</cp:lastModifiedBy>
  <dcterms:modified xsi:type="dcterms:W3CDTF">2026-04-27T16:03:59Z</dcterms:modified>
</cp:coreProperties>
</file>